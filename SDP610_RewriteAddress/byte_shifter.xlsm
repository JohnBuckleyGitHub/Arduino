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 Buckley\Documents\Arduino\SDP610_RewriteAddress\"/>
    </mc:Choice>
  </mc:AlternateContent>
  <bookViews>
    <workbookView xWindow="0" yWindow="0" windowWidth="6720" windowHeight="17730"/>
  </bookViews>
  <sheets>
    <sheet name="Sheet1" sheetId="1" r:id="rId1"/>
    <sheet name="Sheet2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6" i="1" l="1"/>
  <c r="G35" i="1"/>
  <c r="F36" i="1"/>
  <c r="F35" i="1"/>
  <c r="C35" i="1"/>
  <c r="O2" i="1"/>
  <c r="O1" i="1"/>
  <c r="G5" i="1" l="1"/>
  <c r="H5" i="1"/>
  <c r="H19" i="1"/>
  <c r="G19" i="1"/>
  <c r="F19" i="1"/>
  <c r="E19" i="1"/>
  <c r="D19" i="1"/>
  <c r="C19" i="1"/>
  <c r="B19" i="1"/>
  <c r="A19" i="1"/>
  <c r="H16" i="1"/>
  <c r="G16" i="1"/>
  <c r="F16" i="1"/>
  <c r="E16" i="1"/>
  <c r="D16" i="1"/>
  <c r="C16" i="1"/>
  <c r="B16" i="1"/>
  <c r="A16" i="1"/>
  <c r="H11" i="1"/>
  <c r="G11" i="1"/>
  <c r="F11" i="1"/>
  <c r="B8" i="1"/>
  <c r="C8" i="1"/>
  <c r="D8" i="1"/>
  <c r="E8" i="1"/>
  <c r="F8" i="1"/>
  <c r="A8" i="1"/>
  <c r="G1" i="1"/>
  <c r="A10" i="1" l="1"/>
  <c r="A11" i="1" s="1"/>
  <c r="B10" i="1"/>
  <c r="B11" i="1" s="1"/>
  <c r="G7" i="1"/>
  <c r="G8" i="1" s="1"/>
  <c r="C10" i="1"/>
  <c r="C11" i="1" s="1"/>
  <c r="H7" i="1"/>
  <c r="H8" i="1" s="1"/>
  <c r="D10" i="1"/>
  <c r="D11" i="1" s="1"/>
  <c r="E10" i="1"/>
  <c r="E11" i="1" s="1"/>
  <c r="I19" i="1"/>
  <c r="J19" i="1" s="1"/>
  <c r="I16" i="1"/>
  <c r="J16" i="1" s="1"/>
  <c r="I8" i="1" l="1"/>
  <c r="J8" i="1" s="1"/>
  <c r="I11" i="1"/>
  <c r="J11" i="1" s="1"/>
  <c r="K8" i="1"/>
  <c r="K11" i="1"/>
  <c r="L13" i="1" l="1"/>
</calcChain>
</file>

<file path=xl/sharedStrings.xml><?xml version="1.0" encoding="utf-8"?>
<sst xmlns="http://schemas.openxmlformats.org/spreadsheetml/2006/main" count="17" uniqueCount="16">
  <si>
    <t>New Address</t>
  </si>
  <si>
    <t>hex:</t>
  </si>
  <si>
    <t>binary:</t>
  </si>
  <si>
    <t>Reserved</t>
  </si>
  <si>
    <t>places</t>
  </si>
  <si>
    <t>Name Writer</t>
  </si>
  <si>
    <t>0x21</t>
  </si>
  <si>
    <t>0x22</t>
  </si>
  <si>
    <t>0x23</t>
  </si>
  <si>
    <t>0x24</t>
  </si>
  <si>
    <t>0x25</t>
  </si>
  <si>
    <t>0x26</t>
  </si>
  <si>
    <t>address:</t>
  </si>
  <si>
    <t>dec</t>
  </si>
  <si>
    <t>check hex</t>
  </si>
  <si>
    <t>check 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</si>
</sst>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2" fillId="2" borderId="0" xfId="0" applyFont="1" applyFill="1"/>
    <xf numFmtId="0" fontId="3" fillId="0" borderId="0" xfId="0" applyFont="1"/>
    <xf numFmtId="0" fontId="4" fillId="0" borderId="0" xfId="0" applyFont="1"/>
    <xf numFmtId="0" fontId="0" fillId="2" borderId="0" xfId="0" applyFill="1" applyAlignment="1">
      <alignment horizontal="center"/>
    </xf>
    <xf numFmtId="0" fontId="5" fillId="3" borderId="0" xfId="1"/>
    <xf numFmtId="0" fontId="6" fillId="3" borderId="0" xfId="1" applyFont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6"/>
  <sheetViews>
    <sheetView tabSelected="1" workbookViewId="0">
      <selection activeCell="D2" sqref="D2"/>
    </sheetView>
  </sheetViews>
  <sheetFormatPr defaultRowHeight="14.5" x14ac:dyDescent="0.35"/>
  <sheetData>
    <row r="1" spans="1:15" x14ac:dyDescent="0.35">
      <c r="A1" t="s">
        <v>0</v>
      </c>
      <c r="C1" s="3" t="s">
        <v>1</v>
      </c>
      <c r="D1">
        <v>32</v>
      </c>
      <c r="F1" s="3" t="s">
        <v>2</v>
      </c>
      <c r="G1" t="str">
        <f>zeronaterBin(HEX2BIN(D1),7)</f>
        <v>0110010</v>
      </c>
      <c r="H1">
        <v>7</v>
      </c>
      <c r="I1" t="s">
        <v>4</v>
      </c>
      <c r="L1" s="9" t="s">
        <v>14</v>
      </c>
      <c r="M1" s="10">
        <v>25</v>
      </c>
      <c r="N1" s="9" t="s">
        <v>13</v>
      </c>
      <c r="O1" s="9">
        <f>HEX2DEC(M1)</f>
        <v>37</v>
      </c>
    </row>
    <row r="2" spans="1:15" x14ac:dyDescent="0.35">
      <c r="L2" s="9" t="s">
        <v>15</v>
      </c>
      <c r="M2" s="10">
        <v>64</v>
      </c>
      <c r="N2" s="9" t="s">
        <v>13</v>
      </c>
      <c r="O2" s="9" t="str">
        <f>DEC2HEX(M2)</f>
        <v>40</v>
      </c>
    </row>
    <row r="3" spans="1:15" x14ac:dyDescent="0.35">
      <c r="A3" t="s">
        <v>5</v>
      </c>
    </row>
    <row r="5" spans="1:15" x14ac:dyDescent="0.35">
      <c r="A5" s="8" t="s">
        <v>3</v>
      </c>
      <c r="B5" s="8"/>
      <c r="C5" s="8"/>
      <c r="D5" s="8"/>
      <c r="E5" s="8"/>
      <c r="F5" s="8"/>
      <c r="G5">
        <f>14-COLUMN()</f>
        <v>7</v>
      </c>
      <c r="H5">
        <f>14-COLUMN()</f>
        <v>6</v>
      </c>
    </row>
    <row r="6" spans="1:15" x14ac:dyDescent="0.35">
      <c r="A6" s="5">
        <v>15</v>
      </c>
      <c r="B6" s="5">
        <v>14</v>
      </c>
      <c r="C6" s="5">
        <v>13</v>
      </c>
      <c r="D6" s="5">
        <v>12</v>
      </c>
      <c r="E6" s="5">
        <v>11</v>
      </c>
      <c r="F6" s="5">
        <v>10</v>
      </c>
      <c r="G6" s="2">
        <v>9</v>
      </c>
      <c r="H6" s="2">
        <v>8</v>
      </c>
    </row>
    <row r="7" spans="1:15" x14ac:dyDescent="0.3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 s="4" t="str">
        <f>LEFT(RIGHT($G$1,14-COLUMN()),1)</f>
        <v>0</v>
      </c>
      <c r="H7" s="4" t="str">
        <f>LEFT(RIGHT($G$1,14-COLUMN()),1)</f>
        <v>1</v>
      </c>
    </row>
    <row r="8" spans="1:15" x14ac:dyDescent="0.35">
      <c r="A8" s="1">
        <f>A7*2^(8-COLUMN())</f>
        <v>0</v>
      </c>
      <c r="B8" s="1">
        <f t="shared" ref="B8:H8" si="0">B7*2^(8-COLUMN())</f>
        <v>0</v>
      </c>
      <c r="C8" s="1">
        <f t="shared" si="0"/>
        <v>0</v>
      </c>
      <c r="D8" s="1">
        <f t="shared" si="0"/>
        <v>0</v>
      </c>
      <c r="E8" s="1">
        <f t="shared" si="0"/>
        <v>0</v>
      </c>
      <c r="F8" s="1">
        <f t="shared" si="0"/>
        <v>0</v>
      </c>
      <c r="G8" s="1">
        <f t="shared" si="0"/>
        <v>0</v>
      </c>
      <c r="H8" s="1">
        <f t="shared" si="0"/>
        <v>1</v>
      </c>
      <c r="I8">
        <f>SUM(A8:H8)</f>
        <v>1</v>
      </c>
      <c r="J8" t="str">
        <f>DEC2HEX(I8)</f>
        <v>1</v>
      </c>
      <c r="K8" t="str">
        <f>zeronaterHex(J8)</f>
        <v>01</v>
      </c>
    </row>
    <row r="9" spans="1:15" x14ac:dyDescent="0.35">
      <c r="A9" s="2">
        <v>7</v>
      </c>
      <c r="B9" s="2">
        <v>6</v>
      </c>
      <c r="C9" s="2">
        <v>5</v>
      </c>
      <c r="D9" s="2">
        <v>4</v>
      </c>
      <c r="E9" s="2">
        <v>3</v>
      </c>
      <c r="F9" s="5">
        <v>2</v>
      </c>
      <c r="G9" s="5">
        <v>1</v>
      </c>
      <c r="H9" s="5">
        <v>0</v>
      </c>
    </row>
    <row r="10" spans="1:15" x14ac:dyDescent="0.35">
      <c r="A10" s="4" t="str">
        <f t="shared" ref="A10:D10" si="1">LEFT(RIGHT($G$1,6-COLUMN()),1)</f>
        <v>1</v>
      </c>
      <c r="B10" s="4" t="str">
        <f t="shared" si="1"/>
        <v>0</v>
      </c>
      <c r="C10" s="4" t="str">
        <f t="shared" si="1"/>
        <v>0</v>
      </c>
      <c r="D10" s="4" t="str">
        <f t="shared" si="1"/>
        <v>1</v>
      </c>
      <c r="E10" s="4" t="str">
        <f>LEFT(RIGHT($G$1,6-COLUMN()),1)</f>
        <v>0</v>
      </c>
      <c r="F10">
        <v>1</v>
      </c>
      <c r="G10">
        <v>1</v>
      </c>
      <c r="H10">
        <v>1</v>
      </c>
    </row>
    <row r="11" spans="1:15" x14ac:dyDescent="0.35">
      <c r="A11" s="1">
        <f>A10*2^(8-COLUMN())</f>
        <v>128</v>
      </c>
      <c r="B11" s="1">
        <f t="shared" ref="B11" si="2">B10*2^(8-COLUMN())</f>
        <v>0</v>
      </c>
      <c r="C11" s="1">
        <f t="shared" ref="C11" si="3">C10*2^(8-COLUMN())</f>
        <v>0</v>
      </c>
      <c r="D11" s="1">
        <f t="shared" ref="D11" si="4">D10*2^(8-COLUMN())</f>
        <v>16</v>
      </c>
      <c r="E11" s="1">
        <f t="shared" ref="E11" si="5">E10*2^(8-COLUMN())</f>
        <v>0</v>
      </c>
      <c r="F11" s="1">
        <f t="shared" ref="F11" si="6">F10*2^(8-COLUMN())</f>
        <v>4</v>
      </c>
      <c r="G11" s="1">
        <f t="shared" ref="G11" si="7">G10*2^(8-COLUMN())</f>
        <v>2</v>
      </c>
      <c r="H11" s="1">
        <f t="shared" ref="H11" si="8">H10*2^(8-COLUMN())</f>
        <v>1</v>
      </c>
      <c r="I11">
        <f>SUM(A11:H11)</f>
        <v>151</v>
      </c>
      <c r="J11" t="str">
        <f>DEC2HEX(I11)</f>
        <v>97</v>
      </c>
      <c r="K11" t="str">
        <f>zeronaterHex(J11)</f>
        <v>97</v>
      </c>
    </row>
    <row r="13" spans="1:15" ht="18.5" x14ac:dyDescent="0.45">
      <c r="K13" t="s">
        <v>12</v>
      </c>
      <c r="L13" s="7" t="str">
        <f>K8&amp;" "&amp;K11</f>
        <v>01 97</v>
      </c>
    </row>
    <row r="14" spans="1:15" x14ac:dyDescent="0.35">
      <c r="A14">
        <v>0</v>
      </c>
      <c r="B14">
        <v>1</v>
      </c>
      <c r="C14">
        <v>2</v>
      </c>
      <c r="D14">
        <v>3</v>
      </c>
      <c r="E14">
        <v>4</v>
      </c>
      <c r="F14">
        <v>5</v>
      </c>
      <c r="G14">
        <v>6</v>
      </c>
      <c r="H14">
        <v>7</v>
      </c>
    </row>
    <row r="15" spans="1:15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15" x14ac:dyDescent="0.35">
      <c r="A16">
        <f>A15*2^(8-COLUMN())</f>
        <v>0</v>
      </c>
      <c r="B16">
        <f t="shared" ref="B16" si="9">B15*2^(8-COLUMN())</f>
        <v>0</v>
      </c>
      <c r="C16">
        <f t="shared" ref="C16" si="10">C15*2^(8-COLUMN())</f>
        <v>0</v>
      </c>
      <c r="D16">
        <f t="shared" ref="D16" si="11">D15*2^(8-COLUMN())</f>
        <v>0</v>
      </c>
      <c r="E16">
        <f t="shared" ref="E16" si="12">E15*2^(8-COLUMN())</f>
        <v>0</v>
      </c>
      <c r="F16">
        <f t="shared" ref="F16" si="13">F15*2^(8-COLUMN())</f>
        <v>0</v>
      </c>
      <c r="G16">
        <f t="shared" ref="G16" si="14">G15*2^(8-COLUMN())</f>
        <v>0</v>
      </c>
      <c r="H16">
        <f t="shared" ref="H16" si="15">H15*2^(8-COLUMN())</f>
        <v>0</v>
      </c>
      <c r="I16">
        <f>SUM(A16:H16)</f>
        <v>0</v>
      </c>
      <c r="J16" t="str">
        <f>DEC2HEX(I16)</f>
        <v>0</v>
      </c>
    </row>
    <row r="17" spans="1:10" x14ac:dyDescent="0.35">
      <c r="A17">
        <v>8</v>
      </c>
      <c r="B17">
        <v>9</v>
      </c>
      <c r="C17">
        <v>10</v>
      </c>
      <c r="D17">
        <v>11</v>
      </c>
      <c r="E17">
        <v>12</v>
      </c>
      <c r="F17">
        <v>13</v>
      </c>
      <c r="G17">
        <v>14</v>
      </c>
      <c r="H17">
        <v>15</v>
      </c>
    </row>
    <row r="18" spans="1:10" x14ac:dyDescent="0.35">
      <c r="A18">
        <v>0</v>
      </c>
      <c r="B18">
        <v>0</v>
      </c>
      <c r="C18">
        <v>0</v>
      </c>
      <c r="D18">
        <v>0</v>
      </c>
      <c r="E18">
        <v>0</v>
      </c>
      <c r="F18">
        <v>1</v>
      </c>
      <c r="G18">
        <v>1</v>
      </c>
      <c r="H18">
        <v>1</v>
      </c>
    </row>
    <row r="19" spans="1:10" x14ac:dyDescent="0.35">
      <c r="A19">
        <f>A18*2^(8-COLUMN())</f>
        <v>0</v>
      </c>
      <c r="B19">
        <f t="shared" ref="B19" si="16">B18*2^(8-COLUMN())</f>
        <v>0</v>
      </c>
      <c r="C19">
        <f t="shared" ref="C19" si="17">C18*2^(8-COLUMN())</f>
        <v>0</v>
      </c>
      <c r="D19">
        <f t="shared" ref="D19" si="18">D18*2^(8-COLUMN())</f>
        <v>0</v>
      </c>
      <c r="E19">
        <f t="shared" ref="E19" si="19">E18*2^(8-COLUMN())</f>
        <v>0</v>
      </c>
      <c r="F19">
        <f t="shared" ref="F19" si="20">F18*2^(8-COLUMN())</f>
        <v>4</v>
      </c>
      <c r="G19">
        <f t="shared" ref="G19" si="21">G18*2^(8-COLUMN())</f>
        <v>2</v>
      </c>
      <c r="H19">
        <f t="shared" ref="H19" si="22">H18*2^(8-COLUMN())</f>
        <v>1</v>
      </c>
      <c r="I19">
        <f>SUM(A19:H19)</f>
        <v>7</v>
      </c>
      <c r="J19" t="str">
        <f>DEC2HEX(I19)</f>
        <v>7</v>
      </c>
    </row>
    <row r="35" spans="3:7" x14ac:dyDescent="0.35">
      <c r="C35">
        <f>25.4/16</f>
        <v>1.5874999999999999</v>
      </c>
      <c r="D35">
        <v>1</v>
      </c>
      <c r="E35">
        <v>16</v>
      </c>
      <c r="F35">
        <f>D35/E35</f>
        <v>6.25E-2</v>
      </c>
      <c r="G35">
        <f>25.4*F35</f>
        <v>1.5874999999999999</v>
      </c>
    </row>
    <row r="36" spans="3:7" x14ac:dyDescent="0.35">
      <c r="D36">
        <v>3</v>
      </c>
      <c r="E36">
        <v>32</v>
      </c>
      <c r="F36">
        <f>D36/E36</f>
        <v>9.375E-2</v>
      </c>
      <c r="G36">
        <f>25.4*F36</f>
        <v>2.3812499999999996</v>
      </c>
    </row>
  </sheetData>
  <mergeCells count="1">
    <mergeCell ref="A5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7"/>
  <sheetViews>
    <sheetView workbookViewId="0">
      <selection activeCell="A20" sqref="A20"/>
    </sheetView>
  </sheetViews>
  <sheetFormatPr defaultRowHeight="12" x14ac:dyDescent="0.3"/>
  <cols>
    <col min="1" max="16384" width="8.7265625" style="6"/>
  </cols>
  <sheetData>
    <row r="1" spans="1:1" x14ac:dyDescent="0.3">
      <c r="A1" s="6" t="s">
        <v>6</v>
      </c>
    </row>
    <row r="4" spans="1:1" x14ac:dyDescent="0.3">
      <c r="A4" s="6" t="s">
        <v>7</v>
      </c>
    </row>
    <row r="8" spans="1:1" x14ac:dyDescent="0.3">
      <c r="A8" s="6" t="s">
        <v>8</v>
      </c>
    </row>
    <row r="11" spans="1:1" x14ac:dyDescent="0.3">
      <c r="A11" s="6" t="s">
        <v>9</v>
      </c>
    </row>
    <row r="14" spans="1:1" x14ac:dyDescent="0.3">
      <c r="A14" s="6" t="s">
        <v>10</v>
      </c>
    </row>
    <row r="17" spans="1:1" x14ac:dyDescent="0.3">
      <c r="A17" s="6" t="s">
        <v>11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Buckley</dc:creator>
  <cp:lastModifiedBy>John Buckley</cp:lastModifiedBy>
  <cp:lastPrinted>2017-03-06T19:08:55Z</cp:lastPrinted>
  <dcterms:created xsi:type="dcterms:W3CDTF">2017-03-06T18:01:28Z</dcterms:created>
  <dcterms:modified xsi:type="dcterms:W3CDTF">2017-08-07T17:04:12Z</dcterms:modified>
</cp:coreProperties>
</file>